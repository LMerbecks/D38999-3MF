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lem\git_repositories\projects\D38999-3MF\calculations\"/>
    </mc:Choice>
  </mc:AlternateContent>
  <xr:revisionPtr revIDLastSave="0" documentId="13_ncr:1_{1516BB6A-23B3-48F6-8A83-4022DCD8A1C6}" xr6:coauthVersionLast="47" xr6:coauthVersionMax="47" xr10:uidLastSave="{00000000-0000-0000-0000-000000000000}"/>
  <bookViews>
    <workbookView xWindow="-96" yWindow="-96" windowWidth="23232" windowHeight="12432" xr2:uid="{58E9E39D-3151-410B-8DC1-39983DB63DF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6" i="1" l="1"/>
  <c r="X16" i="1"/>
  <c r="AC15" i="1"/>
  <c r="X15" i="1"/>
  <c r="AC14" i="1"/>
  <c r="X14" i="1"/>
  <c r="AC13" i="1"/>
  <c r="X13" i="1"/>
  <c r="AC12" i="1"/>
  <c r="X12" i="1"/>
  <c r="AC11" i="1"/>
  <c r="X11" i="1"/>
  <c r="AC10" i="1"/>
  <c r="X10" i="1"/>
  <c r="AC9" i="1"/>
  <c r="X9" i="1"/>
  <c r="AC8" i="1"/>
  <c r="X8" i="1"/>
  <c r="I111" i="1"/>
  <c r="D111" i="1"/>
  <c r="I110" i="1"/>
  <c r="D110" i="1"/>
  <c r="I109" i="1"/>
  <c r="D109" i="1"/>
  <c r="I108" i="1"/>
  <c r="D108" i="1"/>
  <c r="I107" i="1"/>
  <c r="D107" i="1"/>
  <c r="I106" i="1"/>
  <c r="D106" i="1"/>
  <c r="I105" i="1"/>
  <c r="D105" i="1"/>
  <c r="I104" i="1"/>
  <c r="D104" i="1"/>
  <c r="I103" i="1"/>
  <c r="D103" i="1"/>
</calcChain>
</file>

<file path=xl/sharedStrings.xml><?xml version="1.0" encoding="utf-8"?>
<sst xmlns="http://schemas.openxmlformats.org/spreadsheetml/2006/main" count="186" uniqueCount="128">
  <si>
    <t>A</t>
  </si>
  <si>
    <t>C</t>
  </si>
  <si>
    <t>D</t>
  </si>
  <si>
    <t>E</t>
  </si>
  <si>
    <t>F</t>
  </si>
  <si>
    <t>A Gasket location</t>
  </si>
  <si>
    <t>B</t>
  </si>
  <si>
    <t>G</t>
  </si>
  <si>
    <t>H</t>
  </si>
  <si>
    <t>J</t>
  </si>
  <si>
    <t>M pin contact location</t>
  </si>
  <si>
    <t>N pin insert location</t>
  </si>
  <si>
    <t>P pin contact location</t>
  </si>
  <si>
    <t>S pin insert location</t>
  </si>
  <si>
    <t>U' dia</t>
  </si>
  <si>
    <t>Z socket insert location</t>
  </si>
  <si>
    <t>thread size</t>
  </si>
  <si>
    <t>Shell size</t>
  </si>
  <si>
    <t>Keying dimensions</t>
  </si>
  <si>
    <t>Intermateability dimensions</t>
  </si>
  <si>
    <t>Keying/Shell size</t>
  </si>
  <si>
    <t>Constants</t>
  </si>
  <si>
    <t>All</t>
  </si>
  <si>
    <t>Shell style dimensions</t>
  </si>
  <si>
    <t>inspired by amphenol tvs III</t>
  </si>
  <si>
    <t>Shell style (MIL)</t>
  </si>
  <si>
    <t>S flange length</t>
  </si>
  <si>
    <t>R bolt hole distance</t>
  </si>
  <si>
    <t>T flange thickness</t>
  </si>
  <si>
    <t>L total length</t>
  </si>
  <si>
    <t>TP panel thickness</t>
  </si>
  <si>
    <t>IA major diameter</t>
  </si>
  <si>
    <t>IC major length</t>
  </si>
  <si>
    <t xml:space="preserve">AT accessory thread </t>
  </si>
  <si>
    <t>TG coupling nut groove depth</t>
  </si>
  <si>
    <t>LT total plug length</t>
  </si>
  <si>
    <t>LT accessory thread length</t>
  </si>
  <si>
    <t>DCS coupling nut shoulder diameter</t>
  </si>
  <si>
    <t>DCT coupling nut tread diameter</t>
  </si>
  <si>
    <t>DDR detent ring tread</t>
  </si>
  <si>
    <t>LDR detention ring tread length</t>
  </si>
  <si>
    <t>DDRO outer detent ring diameter</t>
  </si>
  <si>
    <t>DDRI inner detention ring diameter</t>
  </si>
  <si>
    <t>LCS coupling shoulder thickness</t>
  </si>
  <si>
    <t>LCT coupling nut tread length</t>
  </si>
  <si>
    <t>DCB coupling nut back diameter</t>
  </si>
  <si>
    <t>DCO coupling nut outer diameter</t>
  </si>
  <si>
    <t>DCC coupling nut tread clearance diameter</t>
  </si>
  <si>
    <t>pin Insert intermateability dimensions receptacle</t>
  </si>
  <si>
    <t>socket Insert intermateability dimensions plug</t>
  </si>
  <si>
    <t>modified wall mount receptacle</t>
  </si>
  <si>
    <t>C Flange diameter</t>
  </si>
  <si>
    <t xml:space="preserve">S Flange flats </t>
  </si>
  <si>
    <t>H jam nut key width</t>
  </si>
  <si>
    <t>JNTL jam nut thread length</t>
  </si>
  <si>
    <t>JNL jam nut thicknes</t>
  </si>
  <si>
    <t>JNT jam nut thread</t>
  </si>
  <si>
    <t>DHL D hole minor length</t>
  </si>
  <si>
    <t>TF flange thickness</t>
  </si>
  <si>
    <t>N_9AA</t>
  </si>
  <si>
    <t>A_9A</t>
  </si>
  <si>
    <t>B_9A</t>
  </si>
  <si>
    <t>C_9A</t>
  </si>
  <si>
    <t>D_9A</t>
  </si>
  <si>
    <t>E_9A</t>
  </si>
  <si>
    <t>N_11B_13C_15D</t>
  </si>
  <si>
    <t>A_11B_13C_15D</t>
  </si>
  <si>
    <t>B_11B_13C_15D</t>
  </si>
  <si>
    <t>C_11B_13C_15D</t>
  </si>
  <si>
    <t>D_11B_13C_15D</t>
  </si>
  <si>
    <t>E_11B_13C_15D</t>
  </si>
  <si>
    <t>N_17E_19F</t>
  </si>
  <si>
    <t>A_17E_19F</t>
  </si>
  <si>
    <t>B_17E_19F</t>
  </si>
  <si>
    <t>C_17E_19F</t>
  </si>
  <si>
    <t>D_17E_19F</t>
  </si>
  <si>
    <t>E_17E_19F</t>
  </si>
  <si>
    <t>N_21G_23H_25J</t>
  </si>
  <si>
    <t>A_21G_23H_25J</t>
  </si>
  <si>
    <t>B_21G_23H_25J</t>
  </si>
  <si>
    <t>C_21G_23H_25J</t>
  </si>
  <si>
    <t>D_21G_23H_25J</t>
  </si>
  <si>
    <t>E_21G_23H_25J</t>
  </si>
  <si>
    <t>E max diameter after thread</t>
  </si>
  <si>
    <t xml:space="preserve">FF spring finger diameter </t>
  </si>
  <si>
    <t xml:space="preserve">G insert maximum diameter </t>
  </si>
  <si>
    <t>H keyway minor diameter</t>
  </si>
  <si>
    <t>J keyway major diameter</t>
  </si>
  <si>
    <t>K bolt head clearance length</t>
  </si>
  <si>
    <t>R coupling nut stop diameter</t>
  </si>
  <si>
    <t>T coupling nut pre thread diameter</t>
  </si>
  <si>
    <t>F receptacle pre-thread diameter</t>
  </si>
  <si>
    <t>V key major diameter</t>
  </si>
  <si>
    <t>W key minor diameter</t>
  </si>
  <si>
    <t>W' plug pre keys diameter</t>
  </si>
  <si>
    <t>X plug internal diameter</t>
  </si>
  <si>
    <t>C receptacle magic length</t>
  </si>
  <si>
    <t>Y plug magic length</t>
  </si>
  <si>
    <t>thread pitch</t>
  </si>
  <si>
    <t>thread lead</t>
  </si>
  <si>
    <t>external thread major diameter</t>
  </si>
  <si>
    <t>external thread minor diameter</t>
  </si>
  <si>
    <t>internal threadminor diameter</t>
  </si>
  <si>
    <t>internal thread major diameter</t>
  </si>
  <si>
    <t>IC socket insert major length</t>
  </si>
  <si>
    <t>D socket insert receptacle offset</t>
  </si>
  <si>
    <t>receptacle thread length</t>
  </si>
  <si>
    <t>receptacle thread offset</t>
  </si>
  <si>
    <t>plug front flange offset</t>
  </si>
  <si>
    <t>plug coupling nut flange offset</t>
  </si>
  <si>
    <t>front key offset</t>
  </si>
  <si>
    <t>pre key tread length</t>
  </si>
  <si>
    <t>plug insert guide tread length</t>
  </si>
  <si>
    <t>main keyway width</t>
  </si>
  <si>
    <t>minor keywa width</t>
  </si>
  <si>
    <t>main key width</t>
  </si>
  <si>
    <t>minor key width</t>
  </si>
  <si>
    <t>U plug insert guide diameter</t>
  </si>
  <si>
    <t>IA socket insert major diameter</t>
  </si>
  <si>
    <t>26AA</t>
  </si>
  <si>
    <t>26AB</t>
  </si>
  <si>
    <t>26AC</t>
  </si>
  <si>
    <t>26AD</t>
  </si>
  <si>
    <t>26AE</t>
  </si>
  <si>
    <t>26AF</t>
  </si>
  <si>
    <t>26AG</t>
  </si>
  <si>
    <t>26AH</t>
  </si>
  <si>
    <t>26AJ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</si>
</sst>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2" borderId="0" xfId="0" applyFill="1"/>
    <xf numFmtId="3" fontId="0" fillId="0" borderId="0" xfId="0" applyNumberFormat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AAE9F-A0B2-467B-96FA-D5BCA8B98733}">
  <dimension ref="A1:AH111"/>
  <sheetViews>
    <sheetView tabSelected="1" zoomScale="70" zoomScaleNormal="70" workbookViewId="0">
      <selection activeCell="N27" sqref="N27"/>
    </sheetView>
  </sheetViews>
  <sheetFormatPr baseColWidth="10" defaultRowHeight="14.4" x14ac:dyDescent="0.55000000000000004"/>
  <cols>
    <col min="1" max="1" width="15.578125" customWidth="1"/>
  </cols>
  <sheetData>
    <row r="1" spans="1:31" x14ac:dyDescent="0.55000000000000004">
      <c r="A1" t="s">
        <v>21</v>
      </c>
    </row>
    <row r="2" spans="1:31" x14ac:dyDescent="0.55000000000000004">
      <c r="A2" t="s">
        <v>17</v>
      </c>
      <c r="B2" t="s">
        <v>5</v>
      </c>
      <c r="C2" t="s">
        <v>96</v>
      </c>
      <c r="D2" t="s">
        <v>105</v>
      </c>
      <c r="E2" t="s">
        <v>10</v>
      </c>
      <c r="F2" t="s">
        <v>11</v>
      </c>
      <c r="G2" t="s">
        <v>12</v>
      </c>
      <c r="H2" t="s">
        <v>13</v>
      </c>
      <c r="I2" t="s">
        <v>97</v>
      </c>
      <c r="J2" t="s">
        <v>15</v>
      </c>
      <c r="K2" t="s">
        <v>98</v>
      </c>
      <c r="L2" t="s">
        <v>99</v>
      </c>
      <c r="M2" t="s">
        <v>106</v>
      </c>
      <c r="N2" t="s">
        <v>107</v>
      </c>
      <c r="O2" t="s">
        <v>108</v>
      </c>
      <c r="P2" t="s">
        <v>109</v>
      </c>
      <c r="Q2" t="s">
        <v>110</v>
      </c>
      <c r="R2" t="s">
        <v>111</v>
      </c>
      <c r="S2" t="s">
        <v>112</v>
      </c>
      <c r="T2" t="s">
        <v>113</v>
      </c>
      <c r="U2" t="s">
        <v>114</v>
      </c>
      <c r="V2" t="s">
        <v>115</v>
      </c>
      <c r="W2" t="s">
        <v>116</v>
      </c>
      <c r="X2" s="4" t="s">
        <v>104</v>
      </c>
      <c r="Y2" s="4" t="s">
        <v>34</v>
      </c>
      <c r="Z2" s="4" t="s">
        <v>43</v>
      </c>
      <c r="AA2" s="4" t="s">
        <v>44</v>
      </c>
      <c r="AB2" s="4" t="s">
        <v>40</v>
      </c>
      <c r="AC2" s="4" t="s">
        <v>36</v>
      </c>
      <c r="AD2" s="4" t="s">
        <v>35</v>
      </c>
    </row>
    <row r="3" spans="1:31" x14ac:dyDescent="0.55000000000000004">
      <c r="A3" t="s">
        <v>22</v>
      </c>
      <c r="B3">
        <v>14.73</v>
      </c>
      <c r="C3">
        <v>3.25</v>
      </c>
      <c r="D3">
        <v>0.94</v>
      </c>
      <c r="E3">
        <v>10.54</v>
      </c>
      <c r="F3">
        <v>15.46</v>
      </c>
      <c r="G3">
        <v>6.15</v>
      </c>
      <c r="H3">
        <v>0.65</v>
      </c>
      <c r="I3">
        <v>12.45</v>
      </c>
      <c r="J3">
        <v>15.06</v>
      </c>
      <c r="K3" s="1">
        <v>2.54</v>
      </c>
      <c r="L3" s="1">
        <v>7.6199999999999992</v>
      </c>
      <c r="M3">
        <v>10.87</v>
      </c>
      <c r="N3">
        <v>0.51</v>
      </c>
      <c r="O3">
        <v>15.01</v>
      </c>
      <c r="P3">
        <v>13.74</v>
      </c>
      <c r="Q3">
        <v>7.24</v>
      </c>
      <c r="R3">
        <v>0.76</v>
      </c>
      <c r="S3">
        <v>2.0299999999999998</v>
      </c>
      <c r="T3">
        <v>3.2</v>
      </c>
      <c r="U3">
        <v>1.6</v>
      </c>
      <c r="V3">
        <v>2.54</v>
      </c>
      <c r="W3">
        <v>1.32</v>
      </c>
      <c r="X3" s="4">
        <v>10</v>
      </c>
      <c r="Y3" s="4">
        <v>0.5</v>
      </c>
      <c r="Z3" s="4">
        <v>1</v>
      </c>
      <c r="AA3" s="4">
        <v>5</v>
      </c>
      <c r="AB3" s="4">
        <v>5</v>
      </c>
      <c r="AC3" s="4">
        <v>4</v>
      </c>
      <c r="AD3" s="4">
        <v>31</v>
      </c>
    </row>
    <row r="5" spans="1:31" x14ac:dyDescent="0.55000000000000004">
      <c r="A5" t="s">
        <v>19</v>
      </c>
    </row>
    <row r="6" spans="1:31" x14ac:dyDescent="0.55000000000000004">
      <c r="A6" t="s">
        <v>17</v>
      </c>
      <c r="B6" t="s">
        <v>83</v>
      </c>
      <c r="C6" t="s">
        <v>91</v>
      </c>
      <c r="D6" t="s">
        <v>84</v>
      </c>
      <c r="E6" t="s">
        <v>85</v>
      </c>
      <c r="F6" t="s">
        <v>86</v>
      </c>
      <c r="G6" t="s">
        <v>87</v>
      </c>
      <c r="H6" t="s">
        <v>88</v>
      </c>
      <c r="I6" t="s">
        <v>89</v>
      </c>
      <c r="J6" t="s">
        <v>90</v>
      </c>
      <c r="K6" t="s">
        <v>117</v>
      </c>
      <c r="L6" t="s">
        <v>14</v>
      </c>
      <c r="M6" t="s">
        <v>92</v>
      </c>
      <c r="N6" t="s">
        <v>93</v>
      </c>
      <c r="O6" t="s">
        <v>94</v>
      </c>
      <c r="P6" t="s">
        <v>95</v>
      </c>
      <c r="Q6" t="s">
        <v>16</v>
      </c>
      <c r="R6" t="s">
        <v>100</v>
      </c>
      <c r="S6" t="s">
        <v>101</v>
      </c>
      <c r="T6" t="s">
        <v>102</v>
      </c>
      <c r="U6" t="s">
        <v>103</v>
      </c>
      <c r="V6" t="s">
        <v>46</v>
      </c>
      <c r="W6" t="s">
        <v>45</v>
      </c>
      <c r="X6" t="s">
        <v>47</v>
      </c>
      <c r="Y6" t="s">
        <v>37</v>
      </c>
      <c r="Z6" t="s">
        <v>38</v>
      </c>
      <c r="AA6" t="s">
        <v>39</v>
      </c>
      <c r="AB6" t="s">
        <v>41</v>
      </c>
      <c r="AC6" t="s">
        <v>42</v>
      </c>
      <c r="AD6" t="s">
        <v>33</v>
      </c>
      <c r="AE6" t="s">
        <v>118</v>
      </c>
    </row>
    <row r="8" spans="1:31" x14ac:dyDescent="0.55000000000000004">
      <c r="A8" t="s">
        <v>119</v>
      </c>
      <c r="B8">
        <v>14.55</v>
      </c>
      <c r="C8">
        <v>14.14</v>
      </c>
      <c r="D8">
        <v>11.48</v>
      </c>
      <c r="E8">
        <v>7.24</v>
      </c>
      <c r="F8">
        <v>11.36</v>
      </c>
      <c r="G8">
        <v>12.63</v>
      </c>
      <c r="H8">
        <v>11.84</v>
      </c>
      <c r="I8">
        <v>15.88</v>
      </c>
      <c r="J8">
        <v>16.510000000000002</v>
      </c>
      <c r="K8">
        <v>9.83</v>
      </c>
      <c r="L8">
        <v>8.51</v>
      </c>
      <c r="M8">
        <v>12.27</v>
      </c>
      <c r="N8">
        <v>11.13</v>
      </c>
      <c r="O8">
        <v>10.59</v>
      </c>
      <c r="P8">
        <v>7.92</v>
      </c>
      <c r="Q8" s="1">
        <v>15.875</v>
      </c>
      <c r="R8" s="1">
        <v>15.8369</v>
      </c>
      <c r="S8" s="1">
        <v>14.414499999999999</v>
      </c>
      <c r="T8" s="1">
        <v>14.965679999999997</v>
      </c>
      <c r="U8" s="1">
        <v>16.382999999999999</v>
      </c>
      <c r="V8">
        <v>22</v>
      </c>
      <c r="W8">
        <v>19</v>
      </c>
      <c r="X8">
        <f>Z8+0.5</f>
        <v>14</v>
      </c>
      <c r="Y8">
        <v>14.5</v>
      </c>
      <c r="Z8">
        <v>13.5</v>
      </c>
      <c r="AA8">
        <v>12.5</v>
      </c>
      <c r="AB8">
        <v>18</v>
      </c>
      <c r="AC8">
        <f>AA8+0.1</f>
        <v>12.6</v>
      </c>
      <c r="AD8">
        <v>12</v>
      </c>
      <c r="AE8">
        <v>9</v>
      </c>
    </row>
    <row r="9" spans="1:31" x14ac:dyDescent="0.55000000000000004">
      <c r="A9" t="s">
        <v>120</v>
      </c>
      <c r="B9">
        <v>17.73</v>
      </c>
      <c r="C9">
        <v>17.32</v>
      </c>
      <c r="D9">
        <v>14.73</v>
      </c>
      <c r="E9">
        <v>10.49</v>
      </c>
      <c r="F9">
        <v>14.61</v>
      </c>
      <c r="G9">
        <v>15.88</v>
      </c>
      <c r="H9">
        <v>15.01</v>
      </c>
      <c r="I9">
        <v>19.05</v>
      </c>
      <c r="J9">
        <v>19.690000000000001</v>
      </c>
      <c r="K9">
        <v>13.06</v>
      </c>
      <c r="L9">
        <v>11.74</v>
      </c>
      <c r="M9">
        <v>15.52</v>
      </c>
      <c r="N9">
        <v>14.38</v>
      </c>
      <c r="O9">
        <v>13.84</v>
      </c>
      <c r="P9">
        <v>10.92</v>
      </c>
      <c r="Q9" s="1">
        <v>19.049999999999997</v>
      </c>
      <c r="R9" s="1">
        <v>19.011900000000001</v>
      </c>
      <c r="S9" s="1">
        <v>17.589499999999997</v>
      </c>
      <c r="T9" s="1">
        <v>18.140679999999996</v>
      </c>
      <c r="U9" s="1">
        <v>19.558</v>
      </c>
      <c r="V9">
        <v>25</v>
      </c>
      <c r="W9">
        <v>20</v>
      </c>
      <c r="X9">
        <f t="shared" ref="X9:X16" si="0">Z9+0.5</f>
        <v>17.2</v>
      </c>
      <c r="Y9">
        <v>17.7</v>
      </c>
      <c r="Z9">
        <v>16.7</v>
      </c>
      <c r="AA9">
        <v>15.7</v>
      </c>
      <c r="AB9">
        <v>21</v>
      </c>
      <c r="AC9">
        <f t="shared" ref="AC9:AC16" si="1">AA9+0.1</f>
        <v>15.799999999999999</v>
      </c>
      <c r="AD9">
        <v>15</v>
      </c>
      <c r="AE9">
        <v>12</v>
      </c>
    </row>
    <row r="10" spans="1:31" x14ac:dyDescent="0.55000000000000004">
      <c r="A10" t="s">
        <v>121</v>
      </c>
      <c r="B10">
        <v>20.9</v>
      </c>
      <c r="C10">
        <v>20.49</v>
      </c>
      <c r="D10">
        <v>17.579999999999998</v>
      </c>
      <c r="E10">
        <v>13.39</v>
      </c>
      <c r="F10">
        <v>17.45</v>
      </c>
      <c r="G10">
        <v>19.66</v>
      </c>
      <c r="H10">
        <v>19.079999999999998</v>
      </c>
      <c r="I10">
        <v>22.23</v>
      </c>
      <c r="J10">
        <v>22.86</v>
      </c>
      <c r="K10">
        <v>15.95</v>
      </c>
      <c r="L10">
        <v>14.63</v>
      </c>
      <c r="M10">
        <v>19.309999999999999</v>
      </c>
      <c r="N10">
        <v>17.22</v>
      </c>
      <c r="O10">
        <v>16.68</v>
      </c>
      <c r="P10">
        <v>13.81</v>
      </c>
      <c r="Q10" s="1">
        <v>22.224999999999998</v>
      </c>
      <c r="R10" s="1">
        <v>22.186900000000001</v>
      </c>
      <c r="S10" s="1">
        <v>20.764499999999998</v>
      </c>
      <c r="T10" s="1">
        <v>21.315679999999997</v>
      </c>
      <c r="U10" s="1">
        <v>22.733000000000001</v>
      </c>
      <c r="V10">
        <v>30</v>
      </c>
      <c r="W10">
        <v>25</v>
      </c>
      <c r="X10">
        <f t="shared" si="0"/>
        <v>20.399999999999999</v>
      </c>
      <c r="Y10">
        <v>20.9</v>
      </c>
      <c r="Z10">
        <v>19.899999999999999</v>
      </c>
      <c r="AA10">
        <v>18.899999999999999</v>
      </c>
      <c r="AB10">
        <v>26</v>
      </c>
      <c r="AC10">
        <f t="shared" si="1"/>
        <v>19</v>
      </c>
      <c r="AD10">
        <v>18</v>
      </c>
      <c r="AE10">
        <v>15</v>
      </c>
    </row>
    <row r="11" spans="1:31" x14ac:dyDescent="0.55000000000000004">
      <c r="A11" t="s">
        <v>122</v>
      </c>
      <c r="B11">
        <v>24.08</v>
      </c>
      <c r="C11">
        <v>23.67</v>
      </c>
      <c r="D11">
        <v>20.75</v>
      </c>
      <c r="E11">
        <v>16.559999999999999</v>
      </c>
      <c r="F11">
        <v>20.63</v>
      </c>
      <c r="G11">
        <v>22.84</v>
      </c>
      <c r="H11">
        <v>22.25</v>
      </c>
      <c r="I11">
        <v>25.4</v>
      </c>
      <c r="J11">
        <v>26.04</v>
      </c>
      <c r="K11">
        <v>19.13</v>
      </c>
      <c r="L11">
        <v>17.809999999999999</v>
      </c>
      <c r="M11">
        <v>22.48</v>
      </c>
      <c r="N11">
        <v>20.399999999999999</v>
      </c>
      <c r="O11">
        <v>19.86</v>
      </c>
      <c r="P11">
        <v>16.989999999999998</v>
      </c>
      <c r="Q11" s="1">
        <v>25.4</v>
      </c>
      <c r="R11" s="1">
        <v>25.361899999999999</v>
      </c>
      <c r="S11" s="1">
        <v>23.939499999999999</v>
      </c>
      <c r="T11" s="1">
        <v>24.490679999999998</v>
      </c>
      <c r="U11" s="1">
        <v>25.907999999999998</v>
      </c>
      <c r="V11">
        <v>33</v>
      </c>
      <c r="W11">
        <v>30</v>
      </c>
      <c r="X11">
        <f t="shared" si="0"/>
        <v>23.6</v>
      </c>
      <c r="Y11">
        <v>24.1</v>
      </c>
      <c r="Z11">
        <v>23.1</v>
      </c>
      <c r="AA11">
        <v>22.1</v>
      </c>
      <c r="AB11">
        <v>29</v>
      </c>
      <c r="AC11">
        <f t="shared" si="1"/>
        <v>22.200000000000003</v>
      </c>
      <c r="AD11">
        <v>22</v>
      </c>
      <c r="AE11">
        <v>19</v>
      </c>
    </row>
    <row r="12" spans="1:31" x14ac:dyDescent="0.55000000000000004">
      <c r="A12" t="s">
        <v>123</v>
      </c>
      <c r="B12">
        <v>28.52</v>
      </c>
      <c r="C12">
        <v>27.97</v>
      </c>
      <c r="D12">
        <v>23.92</v>
      </c>
      <c r="E12">
        <v>19.739999999999998</v>
      </c>
      <c r="F12">
        <v>23.8</v>
      </c>
      <c r="G12">
        <v>26.01</v>
      </c>
      <c r="H12">
        <v>25.43</v>
      </c>
      <c r="I12">
        <v>30.16</v>
      </c>
      <c r="J12">
        <v>30.89</v>
      </c>
      <c r="K12">
        <v>22.3</v>
      </c>
      <c r="L12">
        <v>20.98</v>
      </c>
      <c r="M12">
        <v>25.66</v>
      </c>
      <c r="N12">
        <v>23.57</v>
      </c>
      <c r="O12">
        <v>23.03</v>
      </c>
      <c r="P12">
        <v>20.16</v>
      </c>
      <c r="Q12" s="1">
        <v>30.162499999999998</v>
      </c>
      <c r="R12" s="1">
        <v>30.111699999999999</v>
      </c>
      <c r="S12" s="1">
        <v>28.282899999999998</v>
      </c>
      <c r="T12" s="1">
        <v>28.940759999999997</v>
      </c>
      <c r="U12" s="1">
        <v>30.772099999999998</v>
      </c>
      <c r="V12">
        <v>36</v>
      </c>
      <c r="W12">
        <v>33</v>
      </c>
      <c r="X12">
        <f t="shared" si="0"/>
        <v>28</v>
      </c>
      <c r="Y12">
        <v>28.5</v>
      </c>
      <c r="Z12">
        <v>27.5</v>
      </c>
      <c r="AA12">
        <v>26.5</v>
      </c>
      <c r="AB12">
        <v>32</v>
      </c>
      <c r="AC12">
        <f t="shared" si="1"/>
        <v>26.6</v>
      </c>
      <c r="AD12">
        <v>25</v>
      </c>
      <c r="AE12">
        <v>22</v>
      </c>
    </row>
    <row r="13" spans="1:31" x14ac:dyDescent="0.55000000000000004">
      <c r="A13" t="s">
        <v>124</v>
      </c>
      <c r="B13">
        <v>30.12</v>
      </c>
      <c r="C13">
        <v>29.56</v>
      </c>
      <c r="D13">
        <v>26.59</v>
      </c>
      <c r="E13">
        <v>22</v>
      </c>
      <c r="F13">
        <v>26.47</v>
      </c>
      <c r="G13">
        <v>28.63</v>
      </c>
      <c r="H13">
        <v>28.6</v>
      </c>
      <c r="I13">
        <v>31.75</v>
      </c>
      <c r="J13">
        <v>32.49</v>
      </c>
      <c r="K13">
        <v>24.69</v>
      </c>
      <c r="L13">
        <v>23.57</v>
      </c>
      <c r="M13">
        <v>28.32</v>
      </c>
      <c r="N13">
        <v>26.24</v>
      </c>
      <c r="O13">
        <v>25.7</v>
      </c>
      <c r="P13">
        <v>22.42</v>
      </c>
      <c r="Q13" s="1">
        <v>31.75</v>
      </c>
      <c r="R13" s="1">
        <v>31.699199999999998</v>
      </c>
      <c r="S13" s="1">
        <v>29.870399999999997</v>
      </c>
      <c r="T13" s="1">
        <v>30.530799999999996</v>
      </c>
      <c r="U13" s="1">
        <v>32.3596</v>
      </c>
      <c r="V13">
        <v>39</v>
      </c>
      <c r="W13">
        <v>36</v>
      </c>
      <c r="X13">
        <f t="shared" si="0"/>
        <v>29.7</v>
      </c>
      <c r="Y13">
        <v>30.1</v>
      </c>
      <c r="Z13">
        <v>29.2</v>
      </c>
      <c r="AA13">
        <v>28.2</v>
      </c>
      <c r="AB13">
        <v>35</v>
      </c>
      <c r="AC13">
        <f t="shared" si="1"/>
        <v>28.3</v>
      </c>
      <c r="AD13">
        <v>28</v>
      </c>
      <c r="AE13">
        <v>25</v>
      </c>
    </row>
    <row r="14" spans="1:31" x14ac:dyDescent="0.55000000000000004">
      <c r="A14" t="s">
        <v>125</v>
      </c>
      <c r="B14">
        <v>33.299999999999997</v>
      </c>
      <c r="C14">
        <v>32.74</v>
      </c>
      <c r="D14">
        <v>29.77</v>
      </c>
      <c r="E14">
        <v>25.17</v>
      </c>
      <c r="F14">
        <v>29.64</v>
      </c>
      <c r="G14">
        <v>31.85</v>
      </c>
      <c r="H14">
        <v>31.78</v>
      </c>
      <c r="I14">
        <v>34.729999999999997</v>
      </c>
      <c r="J14">
        <v>35.659999999999997</v>
      </c>
      <c r="K14">
        <v>27.86</v>
      </c>
      <c r="L14">
        <v>26.74</v>
      </c>
      <c r="M14">
        <v>31.5</v>
      </c>
      <c r="N14">
        <v>29.42</v>
      </c>
      <c r="O14">
        <v>28.87</v>
      </c>
      <c r="P14">
        <v>25.6</v>
      </c>
      <c r="Q14" s="1">
        <v>34.924999999999997</v>
      </c>
      <c r="R14" s="1">
        <v>34.874199999999995</v>
      </c>
      <c r="S14" s="1">
        <v>33.045399999999994</v>
      </c>
      <c r="T14" s="1">
        <v>33.705799999999996</v>
      </c>
      <c r="U14" s="1">
        <v>35.534599999999998</v>
      </c>
      <c r="V14">
        <v>42</v>
      </c>
      <c r="W14">
        <v>39</v>
      </c>
      <c r="X14">
        <f t="shared" si="0"/>
        <v>32.799999999999997</v>
      </c>
      <c r="Y14">
        <v>33.299999999999997</v>
      </c>
      <c r="Z14">
        <v>32.299999999999997</v>
      </c>
      <c r="AA14">
        <v>31.3</v>
      </c>
      <c r="AB14">
        <v>38</v>
      </c>
      <c r="AC14">
        <f t="shared" si="1"/>
        <v>31.400000000000002</v>
      </c>
      <c r="AD14">
        <v>31</v>
      </c>
      <c r="AE14">
        <v>28</v>
      </c>
    </row>
    <row r="15" spans="1:31" x14ac:dyDescent="0.55000000000000004">
      <c r="A15" t="s">
        <v>126</v>
      </c>
      <c r="B15">
        <v>36.47</v>
      </c>
      <c r="C15">
        <v>35.909999999999997</v>
      </c>
      <c r="D15">
        <v>32.94</v>
      </c>
      <c r="E15">
        <v>28.35</v>
      </c>
      <c r="F15">
        <v>32.82</v>
      </c>
      <c r="G15">
        <v>35.03</v>
      </c>
      <c r="H15">
        <v>34.950000000000003</v>
      </c>
      <c r="I15">
        <v>38.1</v>
      </c>
      <c r="J15">
        <v>38.840000000000003</v>
      </c>
      <c r="K15">
        <v>31.04</v>
      </c>
      <c r="L15">
        <v>29.92</v>
      </c>
      <c r="M15">
        <v>34.67</v>
      </c>
      <c r="N15">
        <v>32.590000000000003</v>
      </c>
      <c r="O15">
        <v>32.049999999999997</v>
      </c>
      <c r="P15">
        <v>28.77</v>
      </c>
      <c r="Q15" s="1">
        <v>38.099999999999994</v>
      </c>
      <c r="R15" s="1">
        <v>38.049199999999999</v>
      </c>
      <c r="S15" s="1">
        <v>36.220399999999998</v>
      </c>
      <c r="T15" s="1">
        <v>36.880799999999994</v>
      </c>
      <c r="U15" s="1">
        <v>38.709600000000002</v>
      </c>
      <c r="V15">
        <v>45</v>
      </c>
      <c r="W15">
        <v>42</v>
      </c>
      <c r="X15">
        <f t="shared" si="0"/>
        <v>36</v>
      </c>
      <c r="Y15">
        <v>36.5</v>
      </c>
      <c r="Z15">
        <v>35.5</v>
      </c>
      <c r="AA15">
        <v>34.5</v>
      </c>
      <c r="AB15">
        <v>41</v>
      </c>
      <c r="AC15">
        <f t="shared" si="1"/>
        <v>34.6</v>
      </c>
      <c r="AD15">
        <v>34</v>
      </c>
      <c r="AE15">
        <v>31</v>
      </c>
    </row>
    <row r="16" spans="1:31" x14ac:dyDescent="0.55000000000000004">
      <c r="A16" t="s">
        <v>127</v>
      </c>
      <c r="B16">
        <v>39.65</v>
      </c>
      <c r="C16">
        <v>39.020000000000003</v>
      </c>
      <c r="D16">
        <v>36.119999999999997</v>
      </c>
      <c r="E16">
        <v>31.52</v>
      </c>
      <c r="F16">
        <v>35.99</v>
      </c>
      <c r="G16">
        <v>38.200000000000003</v>
      </c>
      <c r="H16">
        <v>38.130000000000003</v>
      </c>
      <c r="I16">
        <v>41.28</v>
      </c>
      <c r="J16">
        <v>42.01</v>
      </c>
      <c r="K16">
        <v>34.21</v>
      </c>
      <c r="L16">
        <v>33.090000000000003</v>
      </c>
      <c r="M16">
        <v>37.85</v>
      </c>
      <c r="N16">
        <v>35.770000000000003</v>
      </c>
      <c r="O16">
        <v>35.22</v>
      </c>
      <c r="P16">
        <v>31.92</v>
      </c>
      <c r="Q16" s="1">
        <v>41.274999999999999</v>
      </c>
      <c r="R16" s="1">
        <v>41.224199999999996</v>
      </c>
      <c r="S16" s="1">
        <v>39.395399999999995</v>
      </c>
      <c r="T16" s="1">
        <v>40.055799999999998</v>
      </c>
      <c r="U16" s="1">
        <v>41.884599999999999</v>
      </c>
      <c r="V16">
        <v>48</v>
      </c>
      <c r="W16">
        <v>45</v>
      </c>
      <c r="X16">
        <f t="shared" si="0"/>
        <v>39.1</v>
      </c>
      <c r="Y16">
        <v>39.6</v>
      </c>
      <c r="Z16">
        <v>38.6</v>
      </c>
      <c r="AA16">
        <v>37.6</v>
      </c>
      <c r="AB16">
        <v>44</v>
      </c>
      <c r="AC16">
        <f t="shared" si="1"/>
        <v>37.700000000000003</v>
      </c>
      <c r="AD16">
        <v>37</v>
      </c>
      <c r="AE16">
        <v>34</v>
      </c>
    </row>
    <row r="18" spans="1:34" x14ac:dyDescent="0.55000000000000004">
      <c r="A18" t="s">
        <v>18</v>
      </c>
    </row>
    <row r="19" spans="1:34" x14ac:dyDescent="0.55000000000000004">
      <c r="A19" t="s">
        <v>20</v>
      </c>
      <c r="B19" t="s">
        <v>0</v>
      </c>
      <c r="C19" t="s">
        <v>6</v>
      </c>
      <c r="D19" t="s">
        <v>1</v>
      </c>
      <c r="E19" t="s">
        <v>2</v>
      </c>
    </row>
    <row r="21" spans="1:34" x14ac:dyDescent="0.55000000000000004">
      <c r="A21" t="s">
        <v>59</v>
      </c>
      <c r="B21">
        <v>105</v>
      </c>
      <c r="C21">
        <v>140</v>
      </c>
      <c r="D21">
        <v>215</v>
      </c>
      <c r="E21">
        <v>265</v>
      </c>
      <c r="AE21" s="1"/>
      <c r="AF21" s="1"/>
      <c r="AG21" s="1"/>
    </row>
    <row r="22" spans="1:34" x14ac:dyDescent="0.55000000000000004">
      <c r="A22" t="s">
        <v>60</v>
      </c>
      <c r="B22">
        <v>102</v>
      </c>
      <c r="C22">
        <v>132</v>
      </c>
      <c r="D22">
        <v>248</v>
      </c>
      <c r="E22">
        <v>320</v>
      </c>
      <c r="AE22" s="1"/>
      <c r="AF22" s="1"/>
      <c r="AG22" s="1"/>
    </row>
    <row r="23" spans="1:34" x14ac:dyDescent="0.55000000000000004">
      <c r="A23" t="s">
        <v>61</v>
      </c>
      <c r="B23">
        <v>80</v>
      </c>
      <c r="C23">
        <v>118</v>
      </c>
      <c r="D23">
        <v>230</v>
      </c>
      <c r="E23">
        <v>312</v>
      </c>
      <c r="AE23" s="1"/>
      <c r="AF23" s="1"/>
      <c r="AG23" s="1"/>
    </row>
    <row r="24" spans="1:34" x14ac:dyDescent="0.55000000000000004">
      <c r="A24" t="s">
        <v>62</v>
      </c>
      <c r="B24">
        <v>35</v>
      </c>
      <c r="C24">
        <v>140</v>
      </c>
      <c r="D24">
        <v>205</v>
      </c>
      <c r="E24">
        <v>275</v>
      </c>
      <c r="AE24" s="1"/>
      <c r="AF24" s="1"/>
      <c r="AG24" s="1"/>
    </row>
    <row r="25" spans="1:34" x14ac:dyDescent="0.55000000000000004">
      <c r="A25" t="s">
        <v>63</v>
      </c>
      <c r="B25">
        <v>64</v>
      </c>
      <c r="C25">
        <v>155</v>
      </c>
      <c r="D25">
        <v>234</v>
      </c>
      <c r="E25">
        <v>304</v>
      </c>
      <c r="AE25" s="1"/>
      <c r="AF25" s="1"/>
      <c r="AG25" s="1"/>
    </row>
    <row r="26" spans="1:34" x14ac:dyDescent="0.55000000000000004">
      <c r="A26" t="s">
        <v>64</v>
      </c>
      <c r="B26">
        <v>91</v>
      </c>
      <c r="C26">
        <v>131</v>
      </c>
      <c r="D26">
        <v>197</v>
      </c>
      <c r="E26">
        <v>240</v>
      </c>
      <c r="AE26" s="1"/>
      <c r="AF26" s="1"/>
      <c r="AG26" s="1"/>
    </row>
    <row r="27" spans="1:34" x14ac:dyDescent="0.55000000000000004">
      <c r="A27" t="s">
        <v>65</v>
      </c>
      <c r="B27">
        <v>95</v>
      </c>
      <c r="C27">
        <v>141</v>
      </c>
      <c r="D27">
        <v>208</v>
      </c>
      <c r="E27">
        <v>236</v>
      </c>
      <c r="AE27" s="1"/>
      <c r="AF27" s="1"/>
      <c r="AG27" s="1"/>
    </row>
    <row r="28" spans="1:34" x14ac:dyDescent="0.55000000000000004">
      <c r="A28" t="s">
        <v>66</v>
      </c>
      <c r="B28">
        <v>113</v>
      </c>
      <c r="C28">
        <v>156</v>
      </c>
      <c r="D28">
        <v>182</v>
      </c>
      <c r="E28">
        <v>292</v>
      </c>
      <c r="AE28" s="1"/>
      <c r="AF28" s="1"/>
      <c r="AG28" s="1"/>
    </row>
    <row r="29" spans="1:34" x14ac:dyDescent="0.55000000000000004">
      <c r="A29" t="s">
        <v>67</v>
      </c>
      <c r="B29">
        <v>90</v>
      </c>
      <c r="C29">
        <v>145</v>
      </c>
      <c r="D29">
        <v>195</v>
      </c>
      <c r="E29">
        <v>252</v>
      </c>
      <c r="AE29" s="1"/>
      <c r="AF29" s="1"/>
      <c r="AG29" s="1"/>
    </row>
    <row r="30" spans="1:34" x14ac:dyDescent="0.55000000000000004">
      <c r="A30" t="s">
        <v>68</v>
      </c>
      <c r="B30">
        <v>53</v>
      </c>
      <c r="C30">
        <v>156</v>
      </c>
      <c r="D30">
        <v>220</v>
      </c>
      <c r="E30">
        <v>255</v>
      </c>
    </row>
    <row r="31" spans="1:34" x14ac:dyDescent="0.55000000000000004">
      <c r="A31" t="s">
        <v>69</v>
      </c>
      <c r="B31">
        <v>119</v>
      </c>
      <c r="C31">
        <v>146</v>
      </c>
      <c r="D31">
        <v>176</v>
      </c>
      <c r="E31">
        <v>298</v>
      </c>
    </row>
    <row r="32" spans="1:34" x14ac:dyDescent="0.55000000000000004">
      <c r="A32" t="s">
        <v>70</v>
      </c>
      <c r="B32">
        <v>51</v>
      </c>
      <c r="C32">
        <v>141</v>
      </c>
      <c r="D32">
        <v>184</v>
      </c>
      <c r="E32">
        <v>242</v>
      </c>
      <c r="AE32" s="1"/>
      <c r="AF32" s="1"/>
      <c r="AH32" s="1"/>
    </row>
    <row r="33" spans="1:34" x14ac:dyDescent="0.55000000000000004">
      <c r="A33" t="s">
        <v>71</v>
      </c>
      <c r="B33">
        <v>80</v>
      </c>
      <c r="C33">
        <v>142</v>
      </c>
      <c r="D33">
        <v>196</v>
      </c>
      <c r="E33">
        <v>293</v>
      </c>
      <c r="AE33" s="1"/>
      <c r="AF33" s="1"/>
      <c r="AH33" s="1"/>
    </row>
    <row r="34" spans="1:34" x14ac:dyDescent="0.55000000000000004">
      <c r="A34" t="s">
        <v>72</v>
      </c>
      <c r="B34">
        <v>135</v>
      </c>
      <c r="C34">
        <v>170</v>
      </c>
      <c r="D34">
        <v>200</v>
      </c>
      <c r="E34">
        <v>310</v>
      </c>
      <c r="AE34" s="1"/>
      <c r="AF34" s="1"/>
      <c r="AH34" s="1"/>
    </row>
    <row r="35" spans="1:34" x14ac:dyDescent="0.55000000000000004">
      <c r="A35" t="s">
        <v>73</v>
      </c>
      <c r="B35">
        <v>49</v>
      </c>
      <c r="C35">
        <v>169</v>
      </c>
      <c r="D35">
        <v>200</v>
      </c>
      <c r="E35">
        <v>244</v>
      </c>
      <c r="AE35" s="1"/>
      <c r="AF35" s="1"/>
      <c r="AH35" s="1"/>
    </row>
    <row r="36" spans="1:34" x14ac:dyDescent="0.55000000000000004">
      <c r="A36" t="s">
        <v>74</v>
      </c>
      <c r="B36">
        <v>66</v>
      </c>
      <c r="C36">
        <v>140</v>
      </c>
      <c r="D36">
        <v>200</v>
      </c>
      <c r="E36">
        <v>257</v>
      </c>
      <c r="Y36" s="3"/>
      <c r="AE36" s="1"/>
      <c r="AF36" s="1"/>
      <c r="AH36" s="1"/>
    </row>
    <row r="37" spans="1:34" x14ac:dyDescent="0.55000000000000004">
      <c r="A37" t="s">
        <v>75</v>
      </c>
      <c r="B37">
        <v>62</v>
      </c>
      <c r="C37">
        <v>145</v>
      </c>
      <c r="D37">
        <v>180</v>
      </c>
      <c r="E37">
        <v>280</v>
      </c>
      <c r="AE37" s="1"/>
      <c r="AF37" s="1"/>
      <c r="AH37" s="1"/>
    </row>
    <row r="38" spans="1:34" x14ac:dyDescent="0.55000000000000004">
      <c r="A38" t="s">
        <v>76</v>
      </c>
      <c r="B38">
        <v>79</v>
      </c>
      <c r="C38">
        <v>153</v>
      </c>
      <c r="D38">
        <v>197</v>
      </c>
      <c r="E38">
        <v>272</v>
      </c>
      <c r="AE38" s="1"/>
      <c r="AF38" s="1"/>
      <c r="AH38" s="1"/>
    </row>
    <row r="39" spans="1:34" x14ac:dyDescent="0.55000000000000004">
      <c r="A39" t="s">
        <v>77</v>
      </c>
      <c r="B39">
        <v>80</v>
      </c>
      <c r="C39">
        <v>142</v>
      </c>
      <c r="D39">
        <v>196</v>
      </c>
      <c r="E39">
        <v>293</v>
      </c>
      <c r="AE39" s="1"/>
      <c r="AF39" s="1"/>
      <c r="AH39" s="1"/>
    </row>
    <row r="40" spans="1:34" x14ac:dyDescent="0.55000000000000004">
      <c r="A40" t="s">
        <v>78</v>
      </c>
      <c r="B40">
        <v>135</v>
      </c>
      <c r="C40">
        <v>170</v>
      </c>
      <c r="D40">
        <v>200</v>
      </c>
      <c r="E40">
        <v>310</v>
      </c>
      <c r="AE40" s="1"/>
      <c r="AF40" s="1"/>
      <c r="AH40" s="1"/>
    </row>
    <row r="41" spans="1:34" x14ac:dyDescent="0.55000000000000004">
      <c r="A41" t="s">
        <v>79</v>
      </c>
      <c r="B41">
        <v>49</v>
      </c>
      <c r="C41">
        <v>169</v>
      </c>
      <c r="D41">
        <v>200</v>
      </c>
      <c r="E41">
        <v>244</v>
      </c>
    </row>
    <row r="42" spans="1:34" x14ac:dyDescent="0.55000000000000004">
      <c r="A42" t="s">
        <v>80</v>
      </c>
      <c r="B42">
        <v>66</v>
      </c>
      <c r="C42">
        <v>140</v>
      </c>
      <c r="D42">
        <v>200</v>
      </c>
      <c r="E42">
        <v>257</v>
      </c>
    </row>
    <row r="43" spans="1:34" x14ac:dyDescent="0.55000000000000004">
      <c r="A43" t="s">
        <v>81</v>
      </c>
      <c r="B43">
        <v>62</v>
      </c>
      <c r="C43">
        <v>145</v>
      </c>
      <c r="D43">
        <v>180</v>
      </c>
      <c r="E43">
        <v>280</v>
      </c>
    </row>
    <row r="44" spans="1:34" x14ac:dyDescent="0.55000000000000004">
      <c r="A44" t="s">
        <v>82</v>
      </c>
      <c r="B44">
        <v>79</v>
      </c>
      <c r="C44">
        <v>153</v>
      </c>
      <c r="D44">
        <v>197</v>
      </c>
      <c r="E44">
        <v>272</v>
      </c>
    </row>
    <row r="46" spans="1:34" x14ac:dyDescent="0.55000000000000004">
      <c r="A46" t="s">
        <v>48</v>
      </c>
    </row>
    <row r="48" spans="1:34" x14ac:dyDescent="0.55000000000000004">
      <c r="A48" t="s">
        <v>17</v>
      </c>
      <c r="B48" t="s">
        <v>31</v>
      </c>
      <c r="C48" s="2" t="s">
        <v>32</v>
      </c>
    </row>
    <row r="49" spans="1:6" x14ac:dyDescent="0.55000000000000004">
      <c r="A49" t="s">
        <v>0</v>
      </c>
      <c r="B49">
        <v>11</v>
      </c>
      <c r="C49" s="2">
        <v>6</v>
      </c>
    </row>
    <row r="50" spans="1:6" x14ac:dyDescent="0.55000000000000004">
      <c r="A50" t="s">
        <v>6</v>
      </c>
      <c r="B50">
        <v>14</v>
      </c>
      <c r="C50" s="2">
        <v>6</v>
      </c>
    </row>
    <row r="51" spans="1:6" x14ac:dyDescent="0.55000000000000004">
      <c r="A51" t="s">
        <v>1</v>
      </c>
      <c r="B51">
        <v>17</v>
      </c>
      <c r="C51" s="2">
        <v>6</v>
      </c>
    </row>
    <row r="52" spans="1:6" x14ac:dyDescent="0.55000000000000004">
      <c r="A52" t="s">
        <v>2</v>
      </c>
      <c r="B52">
        <v>20</v>
      </c>
      <c r="C52" s="2">
        <v>6</v>
      </c>
    </row>
    <row r="53" spans="1:6" x14ac:dyDescent="0.55000000000000004">
      <c r="A53" t="s">
        <v>3</v>
      </c>
      <c r="B53">
        <v>23</v>
      </c>
      <c r="C53" s="2">
        <v>6</v>
      </c>
    </row>
    <row r="54" spans="1:6" x14ac:dyDescent="0.55000000000000004">
      <c r="A54" t="s">
        <v>4</v>
      </c>
      <c r="B54">
        <v>25</v>
      </c>
      <c r="C54" s="2">
        <v>6</v>
      </c>
    </row>
    <row r="55" spans="1:6" x14ac:dyDescent="0.55000000000000004">
      <c r="A55" t="s">
        <v>7</v>
      </c>
      <c r="B55">
        <v>29</v>
      </c>
      <c r="C55" s="2">
        <v>6</v>
      </c>
    </row>
    <row r="56" spans="1:6" x14ac:dyDescent="0.55000000000000004">
      <c r="A56" t="s">
        <v>8</v>
      </c>
      <c r="B56">
        <v>32</v>
      </c>
      <c r="C56" s="2">
        <v>6</v>
      </c>
    </row>
    <row r="57" spans="1:6" x14ac:dyDescent="0.55000000000000004">
      <c r="A57" t="s">
        <v>9</v>
      </c>
      <c r="B57">
        <v>35</v>
      </c>
      <c r="C57" s="2">
        <v>6</v>
      </c>
    </row>
    <row r="59" spans="1:6" x14ac:dyDescent="0.55000000000000004">
      <c r="A59" t="s">
        <v>23</v>
      </c>
      <c r="C59" t="s">
        <v>24</v>
      </c>
    </row>
    <row r="60" spans="1:6" x14ac:dyDescent="0.55000000000000004">
      <c r="A60" t="s">
        <v>25</v>
      </c>
      <c r="B60" t="s">
        <v>50</v>
      </c>
    </row>
    <row r="61" spans="1:6" x14ac:dyDescent="0.55000000000000004">
      <c r="A61">
        <v>20</v>
      </c>
    </row>
    <row r="62" spans="1:6" x14ac:dyDescent="0.55000000000000004">
      <c r="A62" t="s">
        <v>17</v>
      </c>
      <c r="B62" t="s">
        <v>26</v>
      </c>
      <c r="C62" t="s">
        <v>27</v>
      </c>
      <c r="D62" s="2" t="s">
        <v>28</v>
      </c>
      <c r="E62" s="2" t="s">
        <v>29</v>
      </c>
      <c r="F62" t="s">
        <v>30</v>
      </c>
    </row>
    <row r="63" spans="1:6" x14ac:dyDescent="0.55000000000000004">
      <c r="A63" t="s">
        <v>0</v>
      </c>
      <c r="B63">
        <v>24</v>
      </c>
      <c r="C63">
        <v>16.5</v>
      </c>
      <c r="D63" s="2">
        <v>2</v>
      </c>
      <c r="E63" s="2">
        <v>23</v>
      </c>
      <c r="F63">
        <v>6</v>
      </c>
    </row>
    <row r="64" spans="1:6" x14ac:dyDescent="0.55000000000000004">
      <c r="A64" t="s">
        <v>6</v>
      </c>
      <c r="B64">
        <v>27</v>
      </c>
      <c r="C64">
        <v>19.5</v>
      </c>
      <c r="D64" s="2">
        <v>2</v>
      </c>
      <c r="E64" s="2">
        <v>23</v>
      </c>
      <c r="F64">
        <v>6</v>
      </c>
    </row>
    <row r="65" spans="1:14" x14ac:dyDescent="0.55000000000000004">
      <c r="A65" t="s">
        <v>1</v>
      </c>
      <c r="B65">
        <v>29</v>
      </c>
      <c r="C65">
        <v>22</v>
      </c>
      <c r="D65" s="2">
        <v>2</v>
      </c>
      <c r="E65" s="2">
        <v>23</v>
      </c>
      <c r="F65">
        <v>6</v>
      </c>
    </row>
    <row r="66" spans="1:14" x14ac:dyDescent="0.55000000000000004">
      <c r="A66" t="s">
        <v>2</v>
      </c>
      <c r="B66">
        <v>31</v>
      </c>
      <c r="C66">
        <v>24</v>
      </c>
      <c r="D66" s="2">
        <v>2</v>
      </c>
      <c r="E66" s="2">
        <v>23</v>
      </c>
      <c r="F66">
        <v>6</v>
      </c>
    </row>
    <row r="67" spans="1:14" x14ac:dyDescent="0.55000000000000004">
      <c r="A67" t="s">
        <v>3</v>
      </c>
      <c r="B67">
        <v>34</v>
      </c>
      <c r="C67">
        <v>26</v>
      </c>
      <c r="D67" s="2">
        <v>2</v>
      </c>
      <c r="E67" s="2">
        <v>23</v>
      </c>
      <c r="F67">
        <v>6</v>
      </c>
    </row>
    <row r="68" spans="1:14" x14ac:dyDescent="0.55000000000000004">
      <c r="A68" t="s">
        <v>4</v>
      </c>
      <c r="B68">
        <v>37</v>
      </c>
      <c r="C68">
        <v>28</v>
      </c>
      <c r="D68" s="2">
        <v>2</v>
      </c>
      <c r="E68" s="2">
        <v>23</v>
      </c>
      <c r="F68">
        <v>6</v>
      </c>
    </row>
    <row r="69" spans="1:14" x14ac:dyDescent="0.55000000000000004">
      <c r="A69" t="s">
        <v>7</v>
      </c>
      <c r="B69">
        <v>40</v>
      </c>
      <c r="C69">
        <v>30.5</v>
      </c>
      <c r="D69" s="2">
        <v>3</v>
      </c>
      <c r="E69" s="2">
        <v>23</v>
      </c>
      <c r="F69">
        <v>5</v>
      </c>
    </row>
    <row r="70" spans="1:14" x14ac:dyDescent="0.55000000000000004">
      <c r="A70" t="s">
        <v>8</v>
      </c>
      <c r="B70">
        <v>43</v>
      </c>
      <c r="C70">
        <v>33.5</v>
      </c>
      <c r="D70" s="2">
        <v>3</v>
      </c>
      <c r="E70" s="2">
        <v>23</v>
      </c>
      <c r="F70">
        <v>5</v>
      </c>
    </row>
    <row r="71" spans="1:14" x14ac:dyDescent="0.55000000000000004">
      <c r="A71" t="s">
        <v>9</v>
      </c>
      <c r="B71">
        <v>46</v>
      </c>
      <c r="C71">
        <v>36.5</v>
      </c>
      <c r="D71" s="2">
        <v>3</v>
      </c>
      <c r="E71" s="2">
        <v>23</v>
      </c>
      <c r="F71">
        <v>5</v>
      </c>
    </row>
    <row r="73" spans="1:14" x14ac:dyDescent="0.55000000000000004">
      <c r="A73" t="s">
        <v>25</v>
      </c>
    </row>
    <row r="74" spans="1:14" x14ac:dyDescent="0.55000000000000004">
      <c r="A74">
        <v>24</v>
      </c>
    </row>
    <row r="75" spans="1:14" x14ac:dyDescent="0.55000000000000004">
      <c r="A75" t="s">
        <v>17</v>
      </c>
      <c r="B75" t="s">
        <v>51</v>
      </c>
      <c r="C75" t="s">
        <v>52</v>
      </c>
      <c r="D75" t="s">
        <v>58</v>
      </c>
      <c r="E75" t="s">
        <v>53</v>
      </c>
      <c r="F75" s="2" t="s">
        <v>55</v>
      </c>
      <c r="G75" s="2" t="s">
        <v>54</v>
      </c>
      <c r="H75" t="s">
        <v>56</v>
      </c>
      <c r="I75" t="s">
        <v>57</v>
      </c>
    </row>
    <row r="76" spans="1:14" x14ac:dyDescent="0.55000000000000004">
      <c r="A76" t="s">
        <v>0</v>
      </c>
      <c r="B76">
        <v>30.5</v>
      </c>
      <c r="C76">
        <v>27</v>
      </c>
      <c r="D76">
        <v>2</v>
      </c>
      <c r="E76">
        <v>22</v>
      </c>
      <c r="F76" s="2">
        <v>5</v>
      </c>
      <c r="G76" s="2">
        <v>10</v>
      </c>
      <c r="H76">
        <v>17</v>
      </c>
      <c r="I76">
        <v>16.100000000000001</v>
      </c>
      <c r="N76" s="1"/>
    </row>
    <row r="77" spans="1:14" x14ac:dyDescent="0.55000000000000004">
      <c r="A77" t="s">
        <v>6</v>
      </c>
      <c r="B77">
        <v>35</v>
      </c>
      <c r="C77">
        <v>32</v>
      </c>
      <c r="D77">
        <v>2</v>
      </c>
      <c r="E77">
        <v>25.5</v>
      </c>
      <c r="F77" s="2">
        <v>5</v>
      </c>
      <c r="G77" s="2">
        <v>10</v>
      </c>
      <c r="H77">
        <v>20</v>
      </c>
      <c r="I77">
        <v>19.100000000000001</v>
      </c>
      <c r="N77" s="1"/>
    </row>
    <row r="78" spans="1:14" x14ac:dyDescent="0.55000000000000004">
      <c r="A78" t="s">
        <v>1</v>
      </c>
      <c r="B78">
        <v>38.5</v>
      </c>
      <c r="C78">
        <v>35</v>
      </c>
      <c r="D78">
        <v>2</v>
      </c>
      <c r="E78">
        <v>30</v>
      </c>
      <c r="F78" s="2">
        <v>5</v>
      </c>
      <c r="G78" s="2">
        <v>10</v>
      </c>
      <c r="H78">
        <v>25</v>
      </c>
      <c r="I78">
        <v>24.1</v>
      </c>
      <c r="N78" s="1"/>
    </row>
    <row r="79" spans="1:14" x14ac:dyDescent="0.55000000000000004">
      <c r="A79" t="s">
        <v>2</v>
      </c>
      <c r="B79">
        <v>41.5</v>
      </c>
      <c r="C79">
        <v>38</v>
      </c>
      <c r="D79">
        <v>2</v>
      </c>
      <c r="E79">
        <v>33.5</v>
      </c>
      <c r="F79" s="2">
        <v>5</v>
      </c>
      <c r="G79" s="2">
        <v>10</v>
      </c>
      <c r="H79">
        <v>28</v>
      </c>
      <c r="I79">
        <v>27.1</v>
      </c>
      <c r="N79" s="1"/>
    </row>
    <row r="80" spans="1:14" x14ac:dyDescent="0.55000000000000004">
      <c r="A80" t="s">
        <v>3</v>
      </c>
      <c r="B80">
        <v>44.5</v>
      </c>
      <c r="C80">
        <v>41.5</v>
      </c>
      <c r="D80">
        <v>2</v>
      </c>
      <c r="E80">
        <v>36.5</v>
      </c>
      <c r="F80" s="2">
        <v>5</v>
      </c>
      <c r="G80" s="2">
        <v>10</v>
      </c>
      <c r="H80">
        <v>32</v>
      </c>
      <c r="I80">
        <v>31.1</v>
      </c>
      <c r="N80" s="1"/>
    </row>
    <row r="81" spans="1:14" x14ac:dyDescent="0.55000000000000004">
      <c r="A81" t="s">
        <v>4</v>
      </c>
      <c r="B81">
        <v>49.5</v>
      </c>
      <c r="C81">
        <v>46</v>
      </c>
      <c r="D81">
        <v>2</v>
      </c>
      <c r="E81">
        <v>39.5</v>
      </c>
      <c r="F81" s="2">
        <v>5</v>
      </c>
      <c r="G81" s="2">
        <v>10</v>
      </c>
      <c r="H81">
        <v>35</v>
      </c>
      <c r="I81">
        <v>34.1</v>
      </c>
      <c r="N81" s="1"/>
    </row>
    <row r="82" spans="1:14" x14ac:dyDescent="0.55000000000000004">
      <c r="A82" t="s">
        <v>7</v>
      </c>
      <c r="B82">
        <v>52.5</v>
      </c>
      <c r="C82">
        <v>49</v>
      </c>
      <c r="D82">
        <v>2</v>
      </c>
      <c r="E82">
        <v>43</v>
      </c>
      <c r="F82" s="2">
        <v>5</v>
      </c>
      <c r="G82" s="2">
        <v>10</v>
      </c>
      <c r="H82">
        <v>38</v>
      </c>
      <c r="I82">
        <v>37.1</v>
      </c>
      <c r="N82" s="1"/>
    </row>
    <row r="83" spans="1:14" x14ac:dyDescent="0.55000000000000004">
      <c r="A83" t="s">
        <v>8</v>
      </c>
      <c r="B83">
        <v>56</v>
      </c>
      <c r="C83">
        <v>52.5</v>
      </c>
      <c r="D83">
        <v>2</v>
      </c>
      <c r="E83">
        <v>46</v>
      </c>
      <c r="F83" s="2">
        <v>5</v>
      </c>
      <c r="G83" s="2">
        <v>10</v>
      </c>
      <c r="H83">
        <v>41</v>
      </c>
      <c r="I83">
        <v>40.1</v>
      </c>
      <c r="N83" s="1"/>
    </row>
    <row r="84" spans="1:14" x14ac:dyDescent="0.55000000000000004">
      <c r="A84" t="s">
        <v>9</v>
      </c>
      <c r="B84">
        <v>59</v>
      </c>
      <c r="C84">
        <v>55.5</v>
      </c>
      <c r="D84">
        <v>2</v>
      </c>
      <c r="E84">
        <v>51</v>
      </c>
      <c r="F84" s="2">
        <v>5</v>
      </c>
      <c r="G84" s="2">
        <v>10</v>
      </c>
      <c r="H84">
        <v>44</v>
      </c>
      <c r="I84">
        <v>43.1</v>
      </c>
      <c r="N84" s="1"/>
    </row>
    <row r="87" spans="1:14" x14ac:dyDescent="0.55000000000000004">
      <c r="A87" t="s">
        <v>49</v>
      </c>
    </row>
    <row r="89" spans="1:14" x14ac:dyDescent="0.55000000000000004">
      <c r="A89" t="s">
        <v>17</v>
      </c>
      <c r="B89" t="s">
        <v>31</v>
      </c>
    </row>
    <row r="90" spans="1:14" x14ac:dyDescent="0.55000000000000004">
      <c r="A90" t="s">
        <v>0</v>
      </c>
      <c r="B90">
        <v>9</v>
      </c>
    </row>
    <row r="91" spans="1:14" x14ac:dyDescent="0.55000000000000004">
      <c r="A91" t="s">
        <v>6</v>
      </c>
      <c r="B91">
        <v>12</v>
      </c>
    </row>
    <row r="92" spans="1:14" x14ac:dyDescent="0.55000000000000004">
      <c r="A92" t="s">
        <v>1</v>
      </c>
      <c r="B92">
        <v>15</v>
      </c>
    </row>
    <row r="93" spans="1:14" x14ac:dyDescent="0.55000000000000004">
      <c r="A93" t="s">
        <v>2</v>
      </c>
      <c r="B93">
        <v>19</v>
      </c>
    </row>
    <row r="94" spans="1:14" x14ac:dyDescent="0.55000000000000004">
      <c r="A94" t="s">
        <v>3</v>
      </c>
      <c r="B94">
        <v>22</v>
      </c>
    </row>
    <row r="95" spans="1:14" x14ac:dyDescent="0.55000000000000004">
      <c r="A95" t="s">
        <v>4</v>
      </c>
      <c r="B95">
        <v>25</v>
      </c>
    </row>
    <row r="96" spans="1:14" x14ac:dyDescent="0.55000000000000004">
      <c r="A96" t="s">
        <v>7</v>
      </c>
      <c r="B96">
        <v>28</v>
      </c>
    </row>
    <row r="97" spans="1:10" x14ac:dyDescent="0.55000000000000004">
      <c r="A97" t="s">
        <v>8</v>
      </c>
      <c r="B97">
        <v>31</v>
      </c>
    </row>
    <row r="98" spans="1:10" x14ac:dyDescent="0.55000000000000004">
      <c r="A98" t="s">
        <v>9</v>
      </c>
      <c r="B98">
        <v>34</v>
      </c>
    </row>
    <row r="100" spans="1:10" x14ac:dyDescent="0.55000000000000004">
      <c r="A100" t="s">
        <v>25</v>
      </c>
    </row>
    <row r="101" spans="1:10" x14ac:dyDescent="0.55000000000000004">
      <c r="A101">
        <v>26</v>
      </c>
    </row>
    <row r="102" spans="1:10" x14ac:dyDescent="0.55000000000000004">
      <c r="A102" t="s">
        <v>17</v>
      </c>
      <c r="B102" t="s">
        <v>46</v>
      </c>
      <c r="C102" t="s">
        <v>45</v>
      </c>
      <c r="D102" t="s">
        <v>47</v>
      </c>
      <c r="E102" t="s">
        <v>37</v>
      </c>
      <c r="F102" t="s">
        <v>38</v>
      </c>
      <c r="G102" t="s">
        <v>39</v>
      </c>
      <c r="H102" t="s">
        <v>41</v>
      </c>
      <c r="I102" t="s">
        <v>42</v>
      </c>
      <c r="J102" t="s">
        <v>33</v>
      </c>
    </row>
    <row r="103" spans="1:10" x14ac:dyDescent="0.55000000000000004">
      <c r="A103" t="s">
        <v>0</v>
      </c>
      <c r="B103">
        <v>22</v>
      </c>
      <c r="C103">
        <v>19</v>
      </c>
      <c r="D103">
        <f>F103+0.5</f>
        <v>14</v>
      </c>
      <c r="E103">
        <v>14.5</v>
      </c>
      <c r="F103">
        <v>13.5</v>
      </c>
      <c r="G103">
        <v>12.5</v>
      </c>
      <c r="H103">
        <v>18</v>
      </c>
      <c r="I103">
        <f>G103+0.1</f>
        <v>12.6</v>
      </c>
      <c r="J103">
        <v>12</v>
      </c>
    </row>
    <row r="104" spans="1:10" x14ac:dyDescent="0.55000000000000004">
      <c r="A104" t="s">
        <v>6</v>
      </c>
      <c r="B104">
        <v>25</v>
      </c>
      <c r="C104">
        <v>20</v>
      </c>
      <c r="D104">
        <f t="shared" ref="D104:D111" si="2">F104+0.5</f>
        <v>17.2</v>
      </c>
      <c r="E104">
        <v>17.7</v>
      </c>
      <c r="F104">
        <v>16.7</v>
      </c>
      <c r="G104">
        <v>15.7</v>
      </c>
      <c r="H104">
        <v>21</v>
      </c>
      <c r="I104">
        <f t="shared" ref="I104:I111" si="3">G104+0.1</f>
        <v>15.799999999999999</v>
      </c>
      <c r="J104">
        <v>15</v>
      </c>
    </row>
    <row r="105" spans="1:10" x14ac:dyDescent="0.55000000000000004">
      <c r="A105" t="s">
        <v>1</v>
      </c>
      <c r="B105">
        <v>30</v>
      </c>
      <c r="C105">
        <v>25</v>
      </c>
      <c r="D105">
        <f t="shared" si="2"/>
        <v>20.399999999999999</v>
      </c>
      <c r="E105">
        <v>20.9</v>
      </c>
      <c r="F105">
        <v>19.899999999999999</v>
      </c>
      <c r="G105">
        <v>18.899999999999999</v>
      </c>
      <c r="H105">
        <v>26</v>
      </c>
      <c r="I105">
        <f t="shared" si="3"/>
        <v>19</v>
      </c>
      <c r="J105">
        <v>18</v>
      </c>
    </row>
    <row r="106" spans="1:10" x14ac:dyDescent="0.55000000000000004">
      <c r="A106" t="s">
        <v>2</v>
      </c>
      <c r="B106">
        <v>33</v>
      </c>
      <c r="C106">
        <v>30</v>
      </c>
      <c r="D106">
        <f t="shared" si="2"/>
        <v>23.6</v>
      </c>
      <c r="E106">
        <v>24.1</v>
      </c>
      <c r="F106">
        <v>23.1</v>
      </c>
      <c r="G106">
        <v>22.1</v>
      </c>
      <c r="H106">
        <v>29</v>
      </c>
      <c r="I106">
        <f t="shared" si="3"/>
        <v>22.200000000000003</v>
      </c>
      <c r="J106">
        <v>22</v>
      </c>
    </row>
    <row r="107" spans="1:10" x14ac:dyDescent="0.55000000000000004">
      <c r="A107" t="s">
        <v>3</v>
      </c>
      <c r="B107">
        <v>36</v>
      </c>
      <c r="C107">
        <v>33</v>
      </c>
      <c r="D107">
        <f t="shared" si="2"/>
        <v>28</v>
      </c>
      <c r="E107">
        <v>28.5</v>
      </c>
      <c r="F107">
        <v>27.5</v>
      </c>
      <c r="G107">
        <v>26.5</v>
      </c>
      <c r="H107">
        <v>32</v>
      </c>
      <c r="I107">
        <f t="shared" si="3"/>
        <v>26.6</v>
      </c>
      <c r="J107">
        <v>25</v>
      </c>
    </row>
    <row r="108" spans="1:10" x14ac:dyDescent="0.55000000000000004">
      <c r="A108" t="s">
        <v>4</v>
      </c>
      <c r="B108">
        <v>39</v>
      </c>
      <c r="C108">
        <v>36</v>
      </c>
      <c r="D108">
        <f t="shared" si="2"/>
        <v>29.7</v>
      </c>
      <c r="E108">
        <v>30.1</v>
      </c>
      <c r="F108">
        <v>29.2</v>
      </c>
      <c r="G108">
        <v>28.2</v>
      </c>
      <c r="H108">
        <v>35</v>
      </c>
      <c r="I108">
        <f t="shared" si="3"/>
        <v>28.3</v>
      </c>
      <c r="J108">
        <v>28</v>
      </c>
    </row>
    <row r="109" spans="1:10" x14ac:dyDescent="0.55000000000000004">
      <c r="A109" t="s">
        <v>7</v>
      </c>
      <c r="B109">
        <v>42</v>
      </c>
      <c r="C109">
        <v>39</v>
      </c>
      <c r="D109">
        <f t="shared" si="2"/>
        <v>32.799999999999997</v>
      </c>
      <c r="E109">
        <v>33.299999999999997</v>
      </c>
      <c r="F109">
        <v>32.299999999999997</v>
      </c>
      <c r="G109">
        <v>31.3</v>
      </c>
      <c r="H109">
        <v>38</v>
      </c>
      <c r="I109">
        <f t="shared" si="3"/>
        <v>31.400000000000002</v>
      </c>
      <c r="J109">
        <v>31</v>
      </c>
    </row>
    <row r="110" spans="1:10" x14ac:dyDescent="0.55000000000000004">
      <c r="A110" t="s">
        <v>8</v>
      </c>
      <c r="B110">
        <v>45</v>
      </c>
      <c r="C110">
        <v>42</v>
      </c>
      <c r="D110">
        <f t="shared" si="2"/>
        <v>36</v>
      </c>
      <c r="E110">
        <v>36.5</v>
      </c>
      <c r="F110">
        <v>35.5</v>
      </c>
      <c r="G110">
        <v>34.5</v>
      </c>
      <c r="H110">
        <v>41</v>
      </c>
      <c r="I110">
        <f t="shared" si="3"/>
        <v>34.6</v>
      </c>
      <c r="J110">
        <v>34</v>
      </c>
    </row>
    <row r="111" spans="1:10" x14ac:dyDescent="0.55000000000000004">
      <c r="A111" t="s">
        <v>9</v>
      </c>
      <c r="B111">
        <v>48</v>
      </c>
      <c r="C111">
        <v>45</v>
      </c>
      <c r="D111">
        <f t="shared" si="2"/>
        <v>39.1</v>
      </c>
      <c r="E111">
        <v>39.6</v>
      </c>
      <c r="F111">
        <v>38.6</v>
      </c>
      <c r="G111">
        <v>37.6</v>
      </c>
      <c r="H111">
        <v>44</v>
      </c>
      <c r="I111">
        <f t="shared" si="3"/>
        <v>37.700000000000003</v>
      </c>
      <c r="J111">
        <v>37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Leander Merbecks</dc:creator>
  <cp:lastModifiedBy>Leander Merbecks</cp:lastModifiedBy>
  <dcterms:created xsi:type="dcterms:W3CDTF">2025-08-24T22:00:49Z</dcterms:created>
  <dcterms:modified xsi:type="dcterms:W3CDTF">2025-08-29T00:10:32Z</dcterms:modified>
</cp:coreProperties>
</file>